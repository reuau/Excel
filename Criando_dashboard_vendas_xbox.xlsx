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a-my.sharepoint.com/personal/nrocha_maisaedu_com_br/Documents/Documentos/"/>
    </mc:Choice>
  </mc:AlternateContent>
  <xr:revisionPtr revIDLastSave="0" documentId="8_{094F04FE-83C9-4F59-8C69-E9B147AC25DD}" xr6:coauthVersionLast="47" xr6:coauthVersionMax="47" xr10:uidLastSave="{00000000-0000-0000-0000-000000000000}"/>
  <bookViews>
    <workbookView xWindow="-120" yWindow="-120" windowWidth="29040" windowHeight="158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D27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<sst xmlns="http://schemas.openxmlformats.org/spreadsheetml/2006/main" count="2023" uniqueCount="325">
  <si>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</si>
  <si>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</si>
  <si>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</si>
  <si>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</si>
  <si>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</si>
  <si>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</si>
  <si>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</si>
  <si>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</si>
  <si>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</si>
  <si>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</si>
  <si>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</si>
  <si>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</si>
  <si>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</si>
  <si>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</si>
  <si>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</si>
  <si>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</si>
  <si>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</si>
  <si>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</si>
  <si>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</si>
  <si>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</si>
  <si>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</si>
  <si>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</si>
  <si>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</si>
  <si>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</si>
  <si>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</si>
  <si>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</si>
  <si>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</si>
  <si>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</si>
  <si>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</si>
  <si>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</si>
  <si>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</si>
  <si>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</si>
  <si>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</si>
  <si>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</si>
  <si>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</si>
  <si>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</si>
  <si>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</si>
  <si>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</si>
  <si>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</si>
  <si>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</si>
  <si>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</si>
  <si>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</si>
  <si>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</si>
  <si>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</si>
  <si>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</si>
  <si>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</si>
  <si>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</si>
  <si>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</si>
  <si>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</si>
  <si>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</si>
  <si>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</si>
  <si>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</si>
  <si>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</si>
  <si>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</si>
  <si>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</si>
  <si>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</si>
  <si>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</si>
  <si>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</si>
  <si>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</si>
  <si>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</si>
  <si>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</si>
  <si>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</si>
  <si>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</si>
  <si>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</si>
  <si>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</si>
  <si>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</si>
  <si>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</si>
  <si>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</si>
  <si>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</si>
  <si>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</si>
  <si>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</si>
  <si>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</si>
  <si>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</si>
  <si>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</si>
  <si>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</si>
  <si>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</si>
  <si>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</si>
  <si>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</si>
  <si>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</si>
  <si>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</si>
  <si>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</si>
  <si>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</si>
  <si>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</si>
  <si>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</si>
  <si>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</si>
  <si>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</si>
  <si>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</si>
  <si>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</si>
  <si>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</si>
  <si>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</si>
  <si>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</si>
  <si>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</si>
  <si>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</si>
  <si>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</si>
  <si>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</si>
  <si>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</si>
  <si>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</si>
  <si>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</si>
  <si>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</si>
  <si>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</si>
  <si>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</si>
  <si>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</si>
  <si>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</si>
  <si>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</si>
  <si>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</si>
  <si>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</si>
  <si>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</si>
  <si>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</si>
  <si>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</si>
  <si>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</si>
  <si>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</si>
  <si>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</si>
  <si>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</si>
  <si>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</si>
  <si>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</si>
  <si>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</si>
  <si>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</si>
  <si>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</si>
  <si>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</si>
  <si>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</si>
  <si>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</si>
  <si>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</si>
  <si>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</si>
  <si>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</si>
  <si>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</si>
  <si>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</si>
  <si>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</si>
  <si>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</si>
  <si>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</si>
  <si>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</si>
  <si>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</si>
  <si>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</si>
  <si>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</si>
  <si>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</si>
  <si>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</si>
  <si>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</si>
  <si>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</si>
  <si>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</si>
  <si>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</si>
  <si>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</si>
  <si>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</si>
  <si>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</si>
  <si>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</si>
  <si>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</si>
  <si>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</si>
  <si>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</si>
  <si>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</si>
  <si>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</si>
  <si>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</si>
  <si>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</si>
  <si>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</si>
  <si>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</si>
  <si>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</si>
  <si>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</si>
  <si>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</si>
  <si>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</si>
  <si>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</si>
  <si>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</si>
  <si>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</si>
  <si>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</si>
  <si>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</si>
  <si>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</si>
  <si>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</si>
  <si>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</si>
  <si>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</si>
  <si>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</si>
  <si>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</si>
  <si>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</si>
  <si>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</si>
  <si>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</si>
  <si>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</si>
  <si>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</si>
  <si>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</si>
  <si>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</si>
  <si>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</si>
  <si>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</si>
  <si>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</si>
  <si>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</si>
  <si>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</si>
  <si>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</si>
  <si>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</si>
  <si>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</si>
  <si>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</si>
  <si>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</si>
  <si>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</si>
  <si>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</si>
  <si>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</si>
  <si>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</si>
  <si>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</si>
  <si>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</si>
  <si>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</si>
  <si>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</si>
  <si>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</si>
  <si>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</si>
  <si>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</si>
  <si>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</si>
  <si>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</si>
  <si>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</si>
  <si>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</si>
  <si>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</si>
  <si>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</si>
  <si>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</si>
  <si>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</si>
  <si>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</si>
  <si>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</si>
  <si>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</si>
  <si>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</si>
  <si>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</si>
  <si>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</si>
  <si>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</si>
  <si>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</si>
  <si>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</si>
  <si>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</si>
  <si>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</si>
  <si>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</si>
  <si>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</si>
  <si>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</si>
  <si>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</si>
  <si>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</si>
  <si>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</si>
  <si>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</si>
  <si>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</si>
  <si>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</si>
  <si>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</si>
  <si>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</si>
  <si>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</si>
  <si>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</si>
  <si>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</si>
  <si>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</si>
  <si>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</si>
  <si>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</si>
  <si>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</si>
  <si>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</si>
  <si>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</si>
  <si>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</si>
  <si>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</si>
  <si>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</si>
  <si>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</si>
  <si>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</si>
  <si>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</si>
  <si>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</si>
  <si>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</si>
  <si>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</si>
  <si>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</si>
  <si>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</si>
  <si>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</si>
  <si>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</si>
  <si>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</si>
  <si>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</si>
  <si>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</si>
  <si>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</si>
  <si>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</si>
  <si>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</si>
  <si>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</si>
  <si>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</si>
  <si>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</si>
  <si>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</si>
  <si>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</si>
  <si>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</si>
  <si>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</si>
  <si>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</si>
  <si>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</si>
  <si>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</si>
  <si>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</si>
  <si>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</si>
  <si>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</si>
  <si>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</si>
  <si>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</si>
  <si>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</si>
  <si>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</si>
  <si>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</si>
  <si>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</si>
  <si>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</si>
  <si>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</si>
  <si>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</si>
  <si>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</si>
  <si>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</si>
  <si>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</si>
  <si>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</si>
  <si>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</si>
  <si>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</si>
  <si>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</si>
  <si>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</si>
  <si>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</si>
  <si>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</si>
  <si>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</si>
  <si>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</si>
  <si>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</si>
  <si>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</si>
  <si>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</si>
  <si>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</si>
  <si>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</si>
  <si>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</si>
  <si>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</si>
  <si>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</si>
  <si>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</si>
  <si>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</si>
  <si>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</si>
  <si>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</si>
  <si>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</si>
  <si>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</si>
  <si>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</si>
  <si>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</si>
  <si>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</si>
  <si>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</si>
  <si>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</si>
  <si>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</si>
  <si>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</si>
  <si>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</si>
  <si>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</si>
  <si>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</si>
  <si>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</si>
  <si>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</si>
  <si>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negocios respondida atraves de alguma analise de dados especifica</t>
  </si>
  <si>
    <t>Pergunta de negocio 1 - qual o faturamento total de vendas de planos anuais (contendo todas as assinaturas agregadas)</t>
  </si>
  <si>
    <t>Rótulos de Linha</t>
  </si>
  <si>
    <t>Total Geral</t>
  </si>
  <si>
    <t>Soma de Total Value</t>
  </si>
  <si>
    <t>Pergunta de negocio 2 - Qual faturamento total de vendas de planos anuais, separado por auto renovacao não é por auto renovacao</t>
  </si>
  <si>
    <t>XBOX GAME PASS SUBSCRIPTIONS SALES</t>
  </si>
  <si>
    <t>pergunta negocio 3 - Total de vendas de assinnaturas do EA Play</t>
  </si>
  <si>
    <t>Soma de EA Play Season Pass</t>
  </si>
  <si>
    <t>Pergunta Negocio 4 - Total de vendas de assinaturas do minecraft</t>
  </si>
  <si>
    <t>Soma de Minecraft Season Pass Price</t>
  </si>
  <si>
    <t>Periodo apuração: 01/01/2024 | Update: 13/04/2025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</si>
</sst>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00B05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Border="1"/>
    <xf numFmtId="0" fontId="4" fillId="0" borderId="2" xfId="1" applyFont="1" applyBorder="1"/>
    <xf numFmtId="0" fontId="0" fillId="0" borderId="0" xfId="0" applyNumberFormat="1"/>
    <xf numFmtId="164" fontId="0" fillId="0" borderId="0" xfId="0" applyNumberForma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EF8DC11-051C-4FB0-B720-C41306953D74}">
      <tableStyleElement type="wholeTable" dxfId="1"/>
      <tableStyleElement type="headerRow" dxfId="0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[Criando_dashboard_vendas_xbox.xlsx]C̳álculos!tbl_anual_total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4511142458507043E-2"/>
          <c:y val="0.12129204370693356"/>
          <c:w val="0.8753852820539223"/>
          <c:h val="0.7592706907690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46-4A5B-9761-1CE161D7A23E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46-4A5B-9761-1CE161D7A2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46-4A5B-9761-1CE161D7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658496"/>
        <c:axId val="1614654176"/>
      </c:barChart>
      <c:catAx>
        <c:axId val="161465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654176"/>
        <c:crosses val="autoZero"/>
        <c:auto val="1"/>
        <c:lblAlgn val="ctr"/>
        <c:lblOffset val="100"/>
        <c:noMultiLvlLbl val="0"/>
      </c:catAx>
      <c:valAx>
        <c:axId val="161465417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465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762793</xdr:colOff>
      <xdr:row>0</xdr:row>
      <xdr:rowOff>98425</xdr:rowOff>
    </xdr:from>
    <xdr:to>
      <xdr:col>1</xdr:col>
      <xdr:colOff>1332706</xdr:colOff>
      <xdr:row>2</xdr:row>
      <xdr:rowOff>308769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6709FA-9011-5112-B42E-D7C254B62D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589" t="5468" r="71925" b="7036"/>
        <a:stretch/>
      </xdr:blipFill>
      <xdr:spPr>
        <a:xfrm>
          <a:off x="2703512" y="98425"/>
          <a:ext cx="569913" cy="900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396878</xdr:rowOff>
    </xdr:from>
    <xdr:to>
      <xdr:col>0</xdr:col>
      <xdr:colOff>1939925</xdr:colOff>
      <xdr:row>19</xdr:row>
      <xdr:rowOff>79377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E2475411-F181-43B6-AB80-C24B4F4BB5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39941"/>
              <a:ext cx="1939925" cy="2194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232567</xdr:colOff>
      <xdr:row>6</xdr:row>
      <xdr:rowOff>33338</xdr:rowOff>
    </xdr:from>
    <xdr:to>
      <xdr:col>12</xdr:col>
      <xdr:colOff>242093</xdr:colOff>
      <xdr:row>14</xdr:row>
      <xdr:rowOff>130175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1B32F60-D8E3-2D68-4F71-A6D9DECFFA76}"/>
            </a:ext>
          </a:extLst>
        </xdr:cNvPr>
        <xdr:cNvGrpSpPr/>
      </xdr:nvGrpSpPr>
      <xdr:grpSpPr>
        <a:xfrm>
          <a:off x="3673473" y="1557338"/>
          <a:ext cx="5915026" cy="1775618"/>
          <a:chOff x="2276474" y="1431926"/>
          <a:chExt cx="5253032" cy="178752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4FC8BF6-A37D-0216-6265-DED0B105C02A}"/>
              </a:ext>
            </a:extLst>
          </xdr:cNvPr>
          <xdr:cNvSpPr/>
        </xdr:nvSpPr>
        <xdr:spPr>
          <a:xfrm>
            <a:off x="2278063" y="1438275"/>
            <a:ext cx="5241925" cy="173672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7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F9838C2-BA36-48C2-82AB-C49E7FFE19B4}"/>
              </a:ext>
            </a:extLst>
          </xdr:cNvPr>
          <xdr:cNvSpPr/>
        </xdr:nvSpPr>
        <xdr:spPr>
          <a:xfrm>
            <a:off x="3571876" y="1973263"/>
            <a:ext cx="3817939" cy="117316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6000" b="0" i="0" u="none" strike="noStrike">
                <a:solidFill>
                  <a:srgbClr val="22C55E"/>
                </a:solidFill>
                <a:latin typeface="Aptos Narrow"/>
              </a:rPr>
              <a:t> </a:t>
            </a:r>
            <a:fld id="{D1FFA59A-95B2-4F70-8B41-C0343ABE9723}" type="TxLink">
              <a:rPr lang="en-US" sz="6000" b="0" i="0" u="none" strike="noStrike">
                <a:solidFill>
                  <a:srgbClr val="22C55E"/>
                </a:solidFill>
                <a:latin typeface="Aptos Narrow"/>
              </a:rPr>
              <a:t> R$ 1.350,00 </a:t>
            </a:fld>
            <a:endParaRPr lang="pt-BR" sz="60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FAD4FA1D-DD94-4FB3-B969-25E6883500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92401" y="2000251"/>
            <a:ext cx="1209675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9424B954-214F-329B-72B3-561A215F59A5}"/>
              </a:ext>
            </a:extLst>
          </xdr:cNvPr>
          <xdr:cNvSpPr/>
        </xdr:nvSpPr>
        <xdr:spPr>
          <a:xfrm>
            <a:off x="2276474" y="1431926"/>
            <a:ext cx="5253032" cy="48101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</a:t>
            </a:r>
            <a:r>
              <a:rPr lang="pt-BR" sz="1800" baseline="0"/>
              <a:t> Subscriptions EA Play Season Pass</a:t>
            </a:r>
            <a:endParaRPr lang="pt-BR" sz="1800"/>
          </a:p>
        </xdr:txBody>
      </xdr:sp>
    </xdr:grpSp>
    <xdr:clientData/>
  </xdr:twoCellAnchor>
  <xdr:twoCellAnchor>
    <xdr:from>
      <xdr:col>13</xdr:col>
      <xdr:colOff>30161</xdr:colOff>
      <xdr:row>6</xdr:row>
      <xdr:rowOff>55562</xdr:rowOff>
    </xdr:from>
    <xdr:to>
      <xdr:col>22</xdr:col>
      <xdr:colOff>482655</xdr:colOff>
      <xdr:row>14</xdr:row>
      <xdr:rowOff>109581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2463F26B-262F-9737-EEC9-94CDD9C7A7AD}"/>
            </a:ext>
          </a:extLst>
        </xdr:cNvPr>
        <xdr:cNvGrpSpPr/>
      </xdr:nvGrpSpPr>
      <xdr:grpSpPr>
        <a:xfrm>
          <a:off x="9983786" y="1579562"/>
          <a:ext cx="5917463" cy="1732800"/>
          <a:chOff x="8638380" y="1424781"/>
          <a:chExt cx="5917462" cy="1732800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A974C4C4-AF6A-4B2E-B2CC-140C61CFF269}"/>
              </a:ext>
            </a:extLst>
          </xdr:cNvPr>
          <xdr:cNvGrpSpPr/>
        </xdr:nvGrpSpPr>
        <xdr:grpSpPr>
          <a:xfrm>
            <a:off x="8638380" y="1424781"/>
            <a:ext cx="5917462" cy="1732800"/>
            <a:chOff x="2276474" y="1431926"/>
            <a:chExt cx="5253032" cy="1743074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F509BEB4-4D7F-F85E-4758-EEA9CEDBBC39}"/>
                </a:ext>
              </a:extLst>
            </xdr:cNvPr>
            <xdr:cNvSpPr/>
          </xdr:nvSpPr>
          <xdr:spPr>
            <a:xfrm>
              <a:off x="2278063" y="1438275"/>
              <a:ext cx="5241925" cy="173672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40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E87EB3B0-D4F9-ECB7-C6FB-9087999F21B1}"/>
                </a:ext>
              </a:extLst>
            </xdr:cNvPr>
            <xdr:cNvSpPr/>
          </xdr:nvSpPr>
          <xdr:spPr>
            <a:xfrm>
              <a:off x="3571876" y="1972301"/>
              <a:ext cx="3817939" cy="1171077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D3437FE0-E4F1-40FD-A637-C33173D7D95C}" type="TxLink">
                <a:rPr lang="en-US" sz="6000" b="0" i="0" u="none" strike="noStrike">
                  <a:solidFill>
                    <a:srgbClr val="22C55E"/>
                  </a:solidFill>
                  <a:latin typeface="Aptos Narrow"/>
                </a:rPr>
                <a:t> R$ 1.800,00 </a:t>
              </a:fld>
              <a:endParaRPr lang="pt-BR" sz="6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31723A67-38EE-966C-A978-9BEAB50313A9}"/>
                </a:ext>
              </a:extLst>
            </xdr:cNvPr>
            <xdr:cNvSpPr/>
          </xdr:nvSpPr>
          <xdr:spPr>
            <a:xfrm>
              <a:off x="2276474" y="1431926"/>
              <a:ext cx="5253032" cy="48101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/>
                <a:t>Total</a:t>
              </a:r>
              <a:r>
                <a:rPr lang="pt-BR" sz="1800" baseline="0"/>
                <a:t> Subscriptions Minecraft Season Pass</a:t>
              </a:r>
              <a:endParaRPr lang="pt-BR" sz="1800"/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12294BCD-477C-47F6-A7B7-A4E1DF7F8EBD}"/>
              </a:ext>
            </a:extLst>
          </xdr:cNvPr>
          <xdr:cNvGrpSpPr/>
        </xdr:nvGrpSpPr>
        <xdr:grpSpPr>
          <a:xfrm>
            <a:off x="8964613" y="2163763"/>
            <a:ext cx="1309687" cy="696912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A90F2819-321A-EAA8-F3B4-15C2C7ED19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E01D074F-8817-526C-0EE7-57A1854225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285750</xdr:colOff>
      <xdr:row>19</xdr:row>
      <xdr:rowOff>71437</xdr:rowOff>
    </xdr:from>
    <xdr:to>
      <xdr:col>22</xdr:col>
      <xdr:colOff>500063</xdr:colOff>
      <xdr:row>42</xdr:row>
      <xdr:rowOff>11906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83CE79C3-EB18-7BF5-1B0F-62C4A38CD8CB}"/>
            </a:ext>
          </a:extLst>
        </xdr:cNvPr>
        <xdr:cNvGrpSpPr/>
      </xdr:nvGrpSpPr>
      <xdr:grpSpPr>
        <a:xfrm>
          <a:off x="3726656" y="4226718"/>
          <a:ext cx="12192001" cy="4321969"/>
          <a:chOff x="2464594" y="4071937"/>
          <a:chExt cx="12192000" cy="4321969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BB09F8CE-4E6F-FEC8-4450-4444E6134B7B}"/>
              </a:ext>
            </a:extLst>
          </xdr:cNvPr>
          <xdr:cNvGrpSpPr/>
        </xdr:nvGrpSpPr>
        <xdr:grpSpPr>
          <a:xfrm>
            <a:off x="2464594" y="4073525"/>
            <a:ext cx="12185650" cy="4320381"/>
            <a:chOff x="2187868" y="1715615"/>
            <a:chExt cx="5340057" cy="269295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51A9AC4F-B519-7831-FD97-67E33691D92F}"/>
                </a:ext>
              </a:extLst>
            </xdr:cNvPr>
            <xdr:cNvSpPr/>
          </xdr:nvSpPr>
          <xdr:spPr>
            <a:xfrm>
              <a:off x="2187868" y="1715615"/>
              <a:ext cx="5340057" cy="26929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2E31AA4-A635-4303-B9B2-3E6DB52F6CB8}"/>
                </a:ext>
              </a:extLst>
            </xdr:cNvPr>
            <xdr:cNvGraphicFramePr>
              <a:graphicFrameLocks/>
            </xdr:cNvGraphicFramePr>
          </xdr:nvGraphicFramePr>
          <xdr:xfrm>
            <a:off x="2313091" y="2022058"/>
            <a:ext cx="5176502" cy="23860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FDB8089F-20B7-42BE-B924-73A90112FBDA}"/>
              </a:ext>
            </a:extLst>
          </xdr:cNvPr>
          <xdr:cNvSpPr/>
        </xdr:nvSpPr>
        <xdr:spPr>
          <a:xfrm>
            <a:off x="2464594" y="4071937"/>
            <a:ext cx="12192000" cy="64180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</a:t>
            </a:r>
            <a:r>
              <a:rPr lang="pt-BR" sz="1800" baseline="0"/>
              <a:t> Subscriptions XBOX Game Pass</a:t>
            </a:r>
            <a:endParaRPr lang="pt-BR" sz="1800"/>
          </a:p>
        </xdr:txBody>
      </xdr:sp>
    </xdr:grpSp>
    <xdr:clientData/>
  </xdr:twoCellAnchor>
  <xdr:twoCellAnchor>
    <xdr:from>
      <xdr:col>0</xdr:col>
      <xdr:colOff>178594</xdr:colOff>
      <xdr:row>1</xdr:row>
      <xdr:rowOff>83344</xdr:rowOff>
    </xdr:from>
    <xdr:to>
      <xdr:col>0</xdr:col>
      <xdr:colOff>873919</xdr:colOff>
      <xdr:row>2</xdr:row>
      <xdr:rowOff>278606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E597590E-7E5E-4C55-BA4D-5434BE93F9BF}"/>
            </a:ext>
          </a:extLst>
        </xdr:cNvPr>
        <xdr:cNvSpPr/>
      </xdr:nvSpPr>
      <xdr:spPr>
        <a:xfrm>
          <a:off x="178594" y="273844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47624</xdr:colOff>
      <xdr:row>4</xdr:row>
      <xdr:rowOff>47625</xdr:rowOff>
    </xdr:from>
    <xdr:to>
      <xdr:col>0</xdr:col>
      <xdr:colOff>1845469</xdr:colOff>
      <xdr:row>7</xdr:row>
      <xdr:rowOff>119063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23D2EED0-4060-18D3-E7F9-6E9E242E2BFF}"/>
            </a:ext>
          </a:extLst>
        </xdr:cNvPr>
        <xdr:cNvSpPr/>
      </xdr:nvSpPr>
      <xdr:spPr>
        <a:xfrm>
          <a:off x="47624" y="1190625"/>
          <a:ext cx="1797845" cy="416719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ysClr val="windowText" lastClr="000000"/>
              </a:solidFill>
            </a:rPr>
            <a:t>Bem Vinda,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nny Nunes Lima da Rocha" refreshedDate="45760.861950462961" createdVersion="8" refreshedVersion="8" minRefreshableVersion="3" recordCount="295" xr:uid="{08FACE2C-8AF4-43FA-896C-FBF44319E28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087732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418D3-1A1B-461D-8B44-782D3CB5D4EA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A6FFF-0046-4473-9101-0E2AC4A1F0C5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5E163-ED2A-4CBC-9FFA-AB444E87F882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0A8E739-2A03-4182-9BA7-D829987DEAF5}" sourceName="Subscription Type">
  <pivotTables>
    <pivotTable tabId="3" name="tbl_anual_total"/>
    <pivotTable tabId="3" name="tbl_easeasonpass_total"/>
    <pivotTable tabId="3" name="Tabela dinâmica3"/>
  </pivotTables>
  <data>
    <tabular pivotCacheId="190877320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7CAEE46-E747-4A94-AE11-8B121AE1300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40"/>
  <sheetViews>
    <sheetView showGridLines="0" topLeftCell="A25" workbookViewId="0">
      <selection activeCell="G34" sqref="G3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313</v>
      </c>
    </row>
    <row r="4" spans="2:3" x14ac:dyDescent="0.25">
      <c r="B4" t="s">
        <v>314</v>
      </c>
    </row>
    <row r="5" spans="2:3" x14ac:dyDescent="0.25">
      <c r="B5" t="s">
        <v>318</v>
      </c>
    </row>
    <row r="8" spans="2:3" x14ac:dyDescent="0.25">
      <c r="B8" s="12" t="s">
        <v>16</v>
      </c>
      <c r="C8" t="s">
        <v>20</v>
      </c>
    </row>
    <row r="10" spans="2:3" x14ac:dyDescent="0.25">
      <c r="B10" s="12" t="s">
        <v>315</v>
      </c>
      <c r="C10" t="s">
        <v>317</v>
      </c>
    </row>
    <row r="11" spans="2:3" x14ac:dyDescent="0.25">
      <c r="B11" s="13" t="s">
        <v>23</v>
      </c>
      <c r="C11" s="14">
        <v>2824</v>
      </c>
    </row>
    <row r="12" spans="2:3" x14ac:dyDescent="0.25">
      <c r="B12" s="13" t="s">
        <v>19</v>
      </c>
      <c r="C12" s="14">
        <v>747</v>
      </c>
    </row>
    <row r="13" spans="2:3" x14ac:dyDescent="0.25">
      <c r="B13" s="13" t="s">
        <v>316</v>
      </c>
      <c r="C13" s="14">
        <v>3571</v>
      </c>
    </row>
    <row r="15" spans="2:3" x14ac:dyDescent="0.25">
      <c r="B15" s="13" t="s">
        <v>320</v>
      </c>
    </row>
    <row r="18" spans="2:4" x14ac:dyDescent="0.25">
      <c r="B18" s="12" t="s">
        <v>16</v>
      </c>
      <c r="C18" t="s">
        <v>20</v>
      </c>
    </row>
    <row r="20" spans="2:4" x14ac:dyDescent="0.25">
      <c r="B20" s="12" t="s">
        <v>315</v>
      </c>
      <c r="C20" t="s">
        <v>321</v>
      </c>
    </row>
    <row r="21" spans="2:4" x14ac:dyDescent="0.25">
      <c r="B21" s="13" t="s">
        <v>22</v>
      </c>
      <c r="C21" s="17">
        <v>0</v>
      </c>
    </row>
    <row r="22" spans="2:4" x14ac:dyDescent="0.25">
      <c r="B22" s="13" t="s">
        <v>26</v>
      </c>
      <c r="C22" s="17">
        <v>0</v>
      </c>
    </row>
    <row r="23" spans="2:4" x14ac:dyDescent="0.25">
      <c r="B23" s="13" t="s">
        <v>18</v>
      </c>
      <c r="C23" s="17">
        <v>1350</v>
      </c>
    </row>
    <row r="24" spans="2:4" x14ac:dyDescent="0.25">
      <c r="B24" s="13" t="s">
        <v>316</v>
      </c>
      <c r="C24" s="17">
        <v>1350</v>
      </c>
    </row>
    <row r="27" spans="2:4" x14ac:dyDescent="0.25">
      <c r="D27" s="18">
        <f>GETPIVOTDATA("EA Play Season Pass
Price",$B$20)</f>
        <v>1350</v>
      </c>
    </row>
    <row r="29" spans="2:4" x14ac:dyDescent="0.25">
      <c r="B29" t="s">
        <v>322</v>
      </c>
    </row>
    <row r="32" spans="2:4" x14ac:dyDescent="0.25">
      <c r="B32" s="12" t="s">
        <v>16</v>
      </c>
      <c r="C32" t="s">
        <v>20</v>
      </c>
    </row>
    <row r="34" spans="2:4" x14ac:dyDescent="0.25">
      <c r="B34" s="12" t="s">
        <v>315</v>
      </c>
      <c r="C34" t="s">
        <v>323</v>
      </c>
    </row>
    <row r="35" spans="2:4" x14ac:dyDescent="0.25">
      <c r="B35" s="13" t="s">
        <v>22</v>
      </c>
      <c r="C35" s="14">
        <v>0</v>
      </c>
    </row>
    <row r="36" spans="2:4" x14ac:dyDescent="0.25">
      <c r="B36" s="13" t="s">
        <v>26</v>
      </c>
      <c r="C36" s="14">
        <v>900</v>
      </c>
    </row>
    <row r="37" spans="2:4" x14ac:dyDescent="0.25">
      <c r="B37" s="13" t="s">
        <v>18</v>
      </c>
      <c r="C37" s="14">
        <v>900</v>
      </c>
    </row>
    <row r="38" spans="2:4" x14ac:dyDescent="0.25">
      <c r="B38" s="13" t="s">
        <v>316</v>
      </c>
      <c r="C38" s="14">
        <v>1800</v>
      </c>
    </row>
    <row r="40" spans="2:4" x14ac:dyDescent="0.25">
      <c r="D40" s="19">
        <f>GETPIVOTDATA("Minecraft Season Pass Price",$B$34)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CF411"/>
  <sheetViews>
    <sheetView showGridLines="0" tabSelected="1" zoomScale="80" zoomScaleNormal="80" workbookViewId="0">
      <selection activeCell="C16" sqref="C16"/>
    </sheetView>
  </sheetViews>
  <sheetFormatPr defaultRowHeight="15" x14ac:dyDescent="0.25"/>
  <cols>
    <col min="1" max="1" width="29.140625" style="4" customWidth="1"/>
    <col min="2" max="2" width="22.5703125" customWidth="1"/>
    <col min="12" max="12" width="6.5703125" customWidth="1"/>
  </cols>
  <sheetData>
    <row r="2" spans="2:84" ht="39" customHeight="1" thickBot="1" x14ac:dyDescent="0.5">
      <c r="C2" s="16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2:84" ht="27" customHeight="1" thickTop="1" x14ac:dyDescent="0.25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2:84" ht="20.25" customHeight="1" x14ac:dyDescent="0.25">
      <c r="B4" s="7"/>
      <c r="C4" s="7" t="s">
        <v>324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</row>
    <row r="5" spans="2:84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</row>
    <row r="6" spans="2:84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</row>
    <row r="7" spans="2:84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</row>
    <row r="8" spans="2:84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</row>
    <row r="9" spans="2:84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</row>
    <row r="10" spans="2:84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</row>
    <row r="11" spans="2:84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</row>
    <row r="12" spans="2:84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</row>
    <row r="13" spans="2:84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</row>
    <row r="14" spans="2:84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</row>
    <row r="15" spans="2:84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</row>
    <row r="16" spans="2:84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</row>
    <row r="17" spans="2:84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</row>
    <row r="18" spans="2:8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</row>
    <row r="19" spans="2:84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</row>
    <row r="20" spans="2:8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</row>
    <row r="21" spans="2:8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</row>
    <row r="22" spans="2:84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3" spans="2:84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pans="2:84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</row>
    <row r="25" spans="2:84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</row>
    <row r="26" spans="2:84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</row>
    <row r="27" spans="2:84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</row>
    <row r="28" spans="2:84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</row>
    <row r="29" spans="2:84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</row>
    <row r="30" spans="2:84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</row>
    <row r="31" spans="2:84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</row>
    <row r="32" spans="2:84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</row>
    <row r="33" spans="2:84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</row>
    <row r="34" spans="2:84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</row>
    <row r="35" spans="2:84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</row>
    <row r="36" spans="2:84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</row>
    <row r="37" spans="2:84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</row>
    <row r="38" spans="2:84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</row>
    <row r="39" spans="2:84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</row>
    <row r="40" spans="2:84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</row>
    <row r="41" spans="2:84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</row>
    <row r="42" spans="2:84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</row>
    <row r="43" spans="2:84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</row>
    <row r="44" spans="2:84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</row>
    <row r="45" spans="2:84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</row>
    <row r="46" spans="2:84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</row>
    <row r="47" spans="2:84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</row>
    <row r="48" spans="2:84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</row>
    <row r="49" spans="2:84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</row>
    <row r="50" spans="2:84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</row>
    <row r="51" spans="2:84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</row>
    <row r="52" spans="2:84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</row>
    <row r="53" spans="2:84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</row>
    <row r="54" spans="2:84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</row>
    <row r="55" spans="2:84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</row>
    <row r="56" spans="2:84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</row>
    <row r="57" spans="2:84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</row>
    <row r="58" spans="2:84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</row>
    <row r="59" spans="2:84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</row>
    <row r="60" spans="2:84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</row>
    <row r="61" spans="2:84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</row>
    <row r="62" spans="2:84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</row>
    <row r="63" spans="2:84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</row>
    <row r="64" spans="2:84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</row>
    <row r="65" spans="2:84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</row>
    <row r="66" spans="2:84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</row>
    <row r="67" spans="2:84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</row>
    <row r="68" spans="2:84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</row>
    <row r="69" spans="2:84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</row>
    <row r="70" spans="2:84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</row>
    <row r="71" spans="2:84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</row>
    <row r="72" spans="2:84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</row>
    <row r="73" spans="2:84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</row>
    <row r="74" spans="2:84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</row>
    <row r="75" spans="2:84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</row>
    <row r="76" spans="2:84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</row>
    <row r="77" spans="2:84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</row>
    <row r="78" spans="2:84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</row>
    <row r="79" spans="2:84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</row>
    <row r="80" spans="2:84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</row>
    <row r="81" spans="2:84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</row>
    <row r="82" spans="2:84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</row>
    <row r="83" spans="2:84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</row>
    <row r="84" spans="2:84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</row>
    <row r="85" spans="2:84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</row>
    <row r="86" spans="2:84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</row>
    <row r="87" spans="2:84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</row>
    <row r="88" spans="2:84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</row>
    <row r="89" spans="2:84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</row>
    <row r="90" spans="2:84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</row>
    <row r="91" spans="2:84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</row>
    <row r="92" spans="2:84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</row>
    <row r="93" spans="2:84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</row>
    <row r="94" spans="2:84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</row>
    <row r="95" spans="2:84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</row>
    <row r="96" spans="2:84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</row>
    <row r="97" spans="2:84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</row>
    <row r="98" spans="2:84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</row>
    <row r="99" spans="2:84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</row>
    <row r="100" spans="2:84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</row>
    <row r="101" spans="2:84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</row>
    <row r="102" spans="2:84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</row>
    <row r="103" spans="2:84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</row>
    <row r="104" spans="2:84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</row>
    <row r="105" spans="2:84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</row>
    <row r="106" spans="2:84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</row>
    <row r="107" spans="2:84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</row>
    <row r="108" spans="2:84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</row>
    <row r="109" spans="2:84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</row>
    <row r="110" spans="2:84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</row>
    <row r="111" spans="2:84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</row>
    <row r="112" spans="2:84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</row>
    <row r="113" spans="2:84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</row>
    <row r="114" spans="2:84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</row>
    <row r="115" spans="2:84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</row>
    <row r="116" spans="2:84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</row>
    <row r="117" spans="2:84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</row>
    <row r="118" spans="2:84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</row>
    <row r="119" spans="2:84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</row>
    <row r="120" spans="2:84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</row>
    <row r="121" spans="2:84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</row>
    <row r="122" spans="2:84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</row>
    <row r="123" spans="2:84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</row>
    <row r="124" spans="2:84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</row>
    <row r="125" spans="2:84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</row>
    <row r="126" spans="2:84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</row>
    <row r="127" spans="2:84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</row>
    <row r="128" spans="2:84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</row>
    <row r="129" spans="2:84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</row>
    <row r="130" spans="2:84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</row>
    <row r="131" spans="2:84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</row>
    <row r="132" spans="2:84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</row>
    <row r="133" spans="2:84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</row>
    <row r="134" spans="2:84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</row>
    <row r="135" spans="2:84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</row>
    <row r="136" spans="2:84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</row>
    <row r="137" spans="2:84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</row>
    <row r="138" spans="2:84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</row>
    <row r="139" spans="2:84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</row>
    <row r="140" spans="2:84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</row>
    <row r="141" spans="2:84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</row>
    <row r="142" spans="2:84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</row>
    <row r="143" spans="2:84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</row>
    <row r="144" spans="2:84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</row>
    <row r="145" spans="2:84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</row>
    <row r="146" spans="2:84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</row>
    <row r="147" spans="2:84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</row>
    <row r="148" spans="2:84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</row>
    <row r="149" spans="2:84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</row>
    <row r="150" spans="2:84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</row>
    <row r="151" spans="2:84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</row>
    <row r="152" spans="2:84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</row>
    <row r="153" spans="2:84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</row>
    <row r="154" spans="2:84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</row>
    <row r="155" spans="2:84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</row>
    <row r="156" spans="2:84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</row>
    <row r="157" spans="2:84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</row>
    <row r="158" spans="2:84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</row>
    <row r="159" spans="2:84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</row>
    <row r="160" spans="2:84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</row>
    <row r="161" spans="2:84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</row>
    <row r="162" spans="2:84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</row>
    <row r="163" spans="2:84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</row>
    <row r="164" spans="2:84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</row>
    <row r="165" spans="2:84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</row>
    <row r="166" spans="2:84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</row>
    <row r="167" spans="2:84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</row>
    <row r="168" spans="2:84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</row>
    <row r="169" spans="2:84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</row>
    <row r="170" spans="2:84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</row>
    <row r="171" spans="2:84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</row>
    <row r="172" spans="2:84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</row>
    <row r="173" spans="2:84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</row>
    <row r="174" spans="2:84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</row>
    <row r="175" spans="2:84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</row>
    <row r="176" spans="2:84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</row>
    <row r="177" spans="2:84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</row>
    <row r="178" spans="2:84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</row>
    <row r="179" spans="2:84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</row>
    <row r="180" spans="2:84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</row>
    <row r="181" spans="2:84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</row>
    <row r="182" spans="2:84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</row>
    <row r="183" spans="2:84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</row>
    <row r="184" spans="2:84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</row>
    <row r="185" spans="2:84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</row>
    <row r="186" spans="2:84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</row>
    <row r="187" spans="2:84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</row>
    <row r="188" spans="2:84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</row>
    <row r="189" spans="2:84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</row>
    <row r="190" spans="2:84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</row>
    <row r="191" spans="2:84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</row>
    <row r="192" spans="2:84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</row>
    <row r="193" spans="2:84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</row>
    <row r="194" spans="2:84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</row>
    <row r="195" spans="2:84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</row>
    <row r="196" spans="2:84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</row>
    <row r="197" spans="2:84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</row>
    <row r="198" spans="2:84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</row>
    <row r="199" spans="2:84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</row>
    <row r="200" spans="2:84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</row>
    <row r="201" spans="2:84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</row>
    <row r="202" spans="2:84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</row>
    <row r="203" spans="2:84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</row>
    <row r="204" spans="2:84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</row>
    <row r="205" spans="2:84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</row>
    <row r="206" spans="2:84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</row>
    <row r="207" spans="2:84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</row>
    <row r="208" spans="2:84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</row>
    <row r="209" spans="2:84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</row>
    <row r="210" spans="2:84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</row>
    <row r="211" spans="2:84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</row>
    <row r="212" spans="2:84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</row>
    <row r="213" spans="2:84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</row>
    <row r="214" spans="2:84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</row>
    <row r="215" spans="2:84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</row>
    <row r="216" spans="2:84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</row>
    <row r="217" spans="2:84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</row>
    <row r="218" spans="2:84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</row>
    <row r="219" spans="2:84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</row>
    <row r="220" spans="2:84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</row>
    <row r="221" spans="2:84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</row>
    <row r="222" spans="2:84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</row>
    <row r="223" spans="2:84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</row>
    <row r="224" spans="2:84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</row>
    <row r="225" spans="2:84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</row>
    <row r="226" spans="2:84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</row>
    <row r="227" spans="2:84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</row>
    <row r="228" spans="2:84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</row>
    <row r="229" spans="2:84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</row>
    <row r="230" spans="2:84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</row>
    <row r="231" spans="2:84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</row>
    <row r="232" spans="2:84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</row>
    <row r="233" spans="2:84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</row>
    <row r="234" spans="2:84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</row>
    <row r="235" spans="2:84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</row>
    <row r="236" spans="2:84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</row>
    <row r="237" spans="2:84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</row>
    <row r="238" spans="2:84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</row>
    <row r="239" spans="2:84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</row>
    <row r="240" spans="2:84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</row>
    <row r="241" spans="2:84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</row>
    <row r="242" spans="2:84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</row>
    <row r="243" spans="2:84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</row>
    <row r="244" spans="2:84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</row>
    <row r="245" spans="2:84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</row>
    <row r="246" spans="2:84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</row>
    <row r="247" spans="2:84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</row>
    <row r="248" spans="2:84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</row>
    <row r="249" spans="2:84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</row>
    <row r="250" spans="2:84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</row>
    <row r="251" spans="2:84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</row>
    <row r="252" spans="2:84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</row>
    <row r="253" spans="2:84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</row>
    <row r="254" spans="2:84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</row>
    <row r="255" spans="2:84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</row>
    <row r="256" spans="2:84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</row>
    <row r="257" spans="2:84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</row>
    <row r="258" spans="2:84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</row>
    <row r="259" spans="2:84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</row>
    <row r="260" spans="2:84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</row>
    <row r="261" spans="2:84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</row>
    <row r="262" spans="2:84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</row>
    <row r="263" spans="2:84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</row>
    <row r="264" spans="2:84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</row>
    <row r="265" spans="2:84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</row>
    <row r="266" spans="2:84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</row>
    <row r="267" spans="2:84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</row>
    <row r="268" spans="2:84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</row>
    <row r="269" spans="2:84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</row>
    <row r="270" spans="2:84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</row>
    <row r="271" spans="2:84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</row>
    <row r="272" spans="2:84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</row>
    <row r="273" spans="2:84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</row>
    <row r="274" spans="2:84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</row>
    <row r="275" spans="2:84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</row>
    <row r="276" spans="2:84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</row>
    <row r="277" spans="2:84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</row>
    <row r="278" spans="2:84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</row>
    <row r="279" spans="2:84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</row>
    <row r="280" spans="2:84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</row>
    <row r="281" spans="2:84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</row>
    <row r="282" spans="2:84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</row>
    <row r="283" spans="2:84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</row>
    <row r="284" spans="2:84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</row>
    <row r="285" spans="2:84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</row>
    <row r="286" spans="2:84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</row>
    <row r="287" spans="2:84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</row>
    <row r="288" spans="2:84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</row>
    <row r="289" spans="2:84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</row>
    <row r="290" spans="2:84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</row>
    <row r="291" spans="2:84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</row>
    <row r="292" spans="2:84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</row>
    <row r="293" spans="2:84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</row>
    <row r="294" spans="2:84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</row>
    <row r="295" spans="2:84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</row>
    <row r="296" spans="2:84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</row>
    <row r="297" spans="2:84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</row>
    <row r="298" spans="2:84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</row>
    <row r="299" spans="2:84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</row>
    <row r="300" spans="2:84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</row>
    <row r="301" spans="2:84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</row>
    <row r="302" spans="2:84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</row>
    <row r="303" spans="2:84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</row>
    <row r="304" spans="2:84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</row>
    <row r="305" spans="2:84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</row>
    <row r="306" spans="2:84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</row>
    <row r="307" spans="2:84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</row>
    <row r="308" spans="2:84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</row>
    <row r="309" spans="2:84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</row>
    <row r="310" spans="2:84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</row>
    <row r="311" spans="2:84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</row>
    <row r="312" spans="2:84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</row>
    <row r="313" spans="2:84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</row>
    <row r="314" spans="2:84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</row>
    <row r="315" spans="2:84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</row>
    <row r="316" spans="2:84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</row>
    <row r="317" spans="2:84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</row>
    <row r="318" spans="2:84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</row>
    <row r="319" spans="2:84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</row>
    <row r="320" spans="2:84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</row>
    <row r="321" spans="2:84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</row>
    <row r="322" spans="2:84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</row>
    <row r="323" spans="2:84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</row>
    <row r="324" spans="2:84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</row>
    <row r="325" spans="2:84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</row>
    <row r="326" spans="2:84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</row>
    <row r="327" spans="2:84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</row>
    <row r="328" spans="2:84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</row>
    <row r="329" spans="2:84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</row>
    <row r="330" spans="2:84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</row>
    <row r="331" spans="2:84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</row>
    <row r="332" spans="2:84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</row>
    <row r="333" spans="2:84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</row>
    <row r="334" spans="2:84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</row>
    <row r="335" spans="2:84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</row>
    <row r="336" spans="2:84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</row>
    <row r="337" spans="2:84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</row>
    <row r="338" spans="2:84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</row>
    <row r="339" spans="2:84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</row>
    <row r="340" spans="2:84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</row>
    <row r="341" spans="2:84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</row>
    <row r="342" spans="2:84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</row>
    <row r="343" spans="2:84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</row>
    <row r="344" spans="2:84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</row>
    <row r="345" spans="2:84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</row>
    <row r="346" spans="2:84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</row>
    <row r="347" spans="2:84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</row>
    <row r="348" spans="2:84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</row>
    <row r="349" spans="2:84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</row>
    <row r="350" spans="2:84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</row>
    <row r="351" spans="2:84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</row>
    <row r="352" spans="2:84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</row>
    <row r="353" spans="2:84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</row>
    <row r="354" spans="2:84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</row>
    <row r="355" spans="2:84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</row>
    <row r="356" spans="2:84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</row>
    <row r="357" spans="2:84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</row>
    <row r="358" spans="2:84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</row>
    <row r="359" spans="2:84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</row>
    <row r="360" spans="2:84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</row>
    <row r="361" spans="2:84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</row>
    <row r="362" spans="2:84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</row>
    <row r="363" spans="2:84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</row>
    <row r="364" spans="2:84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</row>
    <row r="365" spans="2:84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</row>
    <row r="366" spans="2:84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</row>
    <row r="367" spans="2:84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</row>
    <row r="368" spans="2:84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</row>
    <row r="369" spans="2:84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</row>
    <row r="370" spans="2:84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</row>
    <row r="371" spans="2:84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</row>
    <row r="372" spans="2:84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</row>
    <row r="373" spans="2:84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</row>
    <row r="374" spans="2:84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</row>
    <row r="375" spans="2:84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</row>
    <row r="376" spans="2:84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</row>
    <row r="377" spans="2:84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</row>
    <row r="378" spans="2:84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</row>
    <row r="379" spans="2:84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</row>
    <row r="380" spans="2:84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</row>
    <row r="381" spans="2:84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</row>
    <row r="382" spans="2:84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</row>
    <row r="383" spans="2:84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</row>
    <row r="384" spans="2:84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</row>
    <row r="385" spans="2:84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</row>
    <row r="386" spans="2:84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</row>
    <row r="387" spans="2:84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</row>
    <row r="388" spans="2:84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</row>
    <row r="389" spans="2:84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</row>
    <row r="390" spans="2:84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</row>
    <row r="391" spans="2:84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</row>
    <row r="392" spans="2:84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</row>
    <row r="393" spans="2:84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</row>
    <row r="394" spans="2:84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</row>
    <row r="395" spans="2:84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</row>
    <row r="396" spans="2:84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</row>
    <row r="397" spans="2:84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</row>
    <row r="398" spans="2:84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</row>
    <row r="399" spans="2:84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</row>
    <row r="400" spans="2:84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</row>
    <row r="401" spans="2:84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</row>
    <row r="402" spans="2:84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</row>
    <row r="403" spans="2:84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</row>
    <row r="404" spans="2:84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</row>
    <row r="405" spans="2:84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</row>
    <row r="406" spans="2:84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</row>
    <row r="407" spans="2:84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</row>
    <row r="408" spans="2:84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</row>
    <row r="409" spans="2:84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</row>
    <row r="410" spans="2:84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</row>
    <row r="411" spans="2:84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Nayanny Nunes Lima da Rocha</cp:lastModifiedBy>
  <dcterms:created xsi:type="dcterms:W3CDTF">2024-12-19T13:13:10Z</dcterms:created>
  <dcterms:modified xsi:type="dcterms:W3CDTF">2025-04-14T01:17:27Z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